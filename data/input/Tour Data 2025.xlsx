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<sst xmlns="http://schemas.openxmlformats.org/spreadsheetml/2006/main" count="34" uniqueCount="34">
  <si>
    <t>Top 10 Avg</t>
  </si>
  <si>
    <t>Tour Avg</t>
  </si>
  <si>
    <t>1st Serve In</t>
  </si>
  <si>
    <t>1st Serve Points Won</t>
  </si>
  <si>
    <t>1st Serve Rating</t>
  </si>
  <si>
    <t>2nd Serve Points Won</t>
  </si>
  <si>
    <t>Break Points Saved</t>
  </si>
  <si>
    <t>Total Serve Points Won</t>
  </si>
  <si>
    <t>Service Games Won</t>
  </si>
  <si>
    <t>1st Serves Unreturned</t>
  </si>
  <si>
    <t>2nd Serves Unreturned</t>
  </si>
  <si>
    <t>Avg. Winners Per Match FH</t>
  </si>
  <si>
    <t>Avg. Winners Per Match BH</t>
  </si>
  <si>
    <t>Avg. Winner per Match</t>
  </si>
  <si>
    <t>Avg. Unforced Errors Per Match FH</t>
  </si>
  <si>
    <t>Avg. Unforced Errors Per Match BH</t>
  </si>
  <si>
    <t>Avg. Unforced errors Per Match</t>
  </si>
  <si>
    <t>Total Points Won</t>
  </si>
  <si>
    <t>Avg. Rally Length</t>
  </si>
  <si>
    <t>% Points Won 0-4</t>
  </si>
  <si>
    <t>% Points Won 5-8</t>
  </si>
  <si>
    <t>% Points Won 9+</t>
  </si>
  <si>
    <t>Shot Usage FH</t>
  </si>
  <si>
    <t>Shot Usage BH</t>
  </si>
  <si>
    <t>Shots In FH</t>
  </si>
  <si>
    <t>Shots In BH</t>
  </si>
  <si>
    <t>1st Serve Return Points Won</t>
  </si>
  <si>
    <t>2nd Serve Return Points Won</t>
  </si>
  <si>
    <t>Break Points Won</t>
  </si>
  <si>
    <t>Total Return Points Won</t>
  </si>
  <si>
    <t>Return Games Won</t>
  </si>
  <si>
    <t>1st Serve Returns In</t>
  </si>
  <si>
    <t>2nd Serve Returns In</t>
  </si>
  <si>
    <t>Total Returns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</si>
</sst>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horizontal="center" vertical="bottom"/>
    </xf>
    <xf borderId="0" fillId="0" fontId="2" numFmtId="9" xfId="0" applyAlignment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3" max="3" width="7.5"/>
  </cols>
  <sheetData>
    <row r="1">
      <c r="A1" s="1"/>
      <c r="B1" s="2" t="s">
        <v>0</v>
      </c>
      <c r="C1" s="2" t="s">
        <v>1</v>
      </c>
    </row>
    <row r="2">
      <c r="A2" s="3" t="s">
        <v>2</v>
      </c>
      <c r="B2" s="4">
        <v>0.637</v>
      </c>
      <c r="C2" s="5">
        <v>0.62</v>
      </c>
    </row>
    <row r="3">
      <c r="A3" s="3" t="s">
        <v>3</v>
      </c>
      <c r="B3" s="4">
        <v>0.69</v>
      </c>
      <c r="C3" s="5">
        <v>0.64</v>
      </c>
    </row>
    <row r="4">
      <c r="A4" s="6" t="s">
        <v>4</v>
      </c>
      <c r="B4" s="7">
        <f t="shared" ref="B4:C4" si="1">sum((B2*B3)*100)</f>
        <v>43.953</v>
      </c>
      <c r="C4" s="7">
        <f t="shared" si="1"/>
        <v>39.68</v>
      </c>
    </row>
    <row r="5">
      <c r="A5" s="3" t="s">
        <v>5</v>
      </c>
      <c r="B5" s="4">
        <v>0.485</v>
      </c>
      <c r="C5" s="5">
        <v>0.45</v>
      </c>
    </row>
    <row r="6">
      <c r="A6" s="3" t="s">
        <v>6</v>
      </c>
      <c r="B6" s="4">
        <v>0.577</v>
      </c>
      <c r="C6" s="5">
        <v>0.56</v>
      </c>
    </row>
    <row r="7">
      <c r="A7" s="3" t="s">
        <v>7</v>
      </c>
      <c r="B7" s="4">
        <v>0.607</v>
      </c>
      <c r="C7" s="5">
        <v>0.57</v>
      </c>
    </row>
    <row r="8">
      <c r="A8" s="3" t="s">
        <v>8</v>
      </c>
      <c r="B8" s="4">
        <v>0.735</v>
      </c>
      <c r="C8" s="5">
        <v>0.66</v>
      </c>
    </row>
    <row r="9">
      <c r="A9" s="3" t="s">
        <v>9</v>
      </c>
      <c r="B9" s="4">
        <v>0.305</v>
      </c>
      <c r="C9" s="5">
        <v>0.27</v>
      </c>
    </row>
    <row r="10">
      <c r="A10" s="3" t="s">
        <v>10</v>
      </c>
      <c r="B10" s="4">
        <v>0.195</v>
      </c>
      <c r="C10" s="5">
        <v>0.18</v>
      </c>
    </row>
    <row r="11">
      <c r="A11" s="1"/>
      <c r="B11" s="1"/>
      <c r="C11" s="1"/>
    </row>
    <row r="12">
      <c r="A12" s="3" t="s">
        <v>11</v>
      </c>
      <c r="B12" s="8">
        <v>9.08</v>
      </c>
      <c r="C12" s="8">
        <v>7.9</v>
      </c>
    </row>
    <row r="13">
      <c r="A13" s="3" t="s">
        <v>12</v>
      </c>
      <c r="B13" s="8">
        <v>5.17</v>
      </c>
      <c r="C13" s="8">
        <v>4.6</v>
      </c>
    </row>
    <row r="14">
      <c r="A14" s="6" t="s">
        <v>13</v>
      </c>
      <c r="B14" s="8">
        <f t="shared" ref="B14:C14" si="2">sum(B12+B13)</f>
        <v>14.25</v>
      </c>
      <c r="C14" s="8">
        <f t="shared" si="2"/>
        <v>12.5</v>
      </c>
    </row>
    <row r="15">
      <c r="A15" s="3" t="s">
        <v>14</v>
      </c>
      <c r="B15" s="8">
        <v>11.82</v>
      </c>
      <c r="C15" s="8">
        <v>12.2</v>
      </c>
    </row>
    <row r="16">
      <c r="A16" s="3" t="s">
        <v>15</v>
      </c>
      <c r="B16" s="8">
        <v>9.5</v>
      </c>
      <c r="C16" s="8">
        <v>9.9</v>
      </c>
    </row>
    <row r="17">
      <c r="A17" s="6" t="s">
        <v>16</v>
      </c>
      <c r="B17" s="8">
        <f t="shared" ref="B17:C17" si="3">sum(B15:B16)</f>
        <v>21.32</v>
      </c>
      <c r="C17" s="8">
        <f t="shared" si="3"/>
        <v>22.1</v>
      </c>
    </row>
    <row r="18">
      <c r="A18" s="3" t="s">
        <v>17</v>
      </c>
      <c r="B18" s="4">
        <v>0.529</v>
      </c>
      <c r="C18" s="5">
        <v>0.5</v>
      </c>
    </row>
    <row r="19">
      <c r="A19" s="3" t="s">
        <v>18</v>
      </c>
      <c r="B19" s="8">
        <v>3.95</v>
      </c>
      <c r="C19" s="8">
        <v>4.0</v>
      </c>
    </row>
    <row r="20">
      <c r="A20" s="3" t="s">
        <v>19</v>
      </c>
      <c r="B20" s="4">
        <v>0.529</v>
      </c>
      <c r="C20" s="5">
        <v>0.5</v>
      </c>
    </row>
    <row r="21">
      <c r="A21" s="3" t="s">
        <v>20</v>
      </c>
      <c r="B21" s="4">
        <v>0.524</v>
      </c>
      <c r="C21" s="5">
        <v>0.5</v>
      </c>
    </row>
    <row r="22">
      <c r="A22" s="3" t="s">
        <v>21</v>
      </c>
      <c r="B22" s="4">
        <v>0.542</v>
      </c>
      <c r="C22" s="5">
        <v>0.5</v>
      </c>
    </row>
    <row r="23">
      <c r="A23" s="3" t="s">
        <v>22</v>
      </c>
      <c r="B23" s="4">
        <v>0.549</v>
      </c>
      <c r="C23" s="5">
        <v>0.55</v>
      </c>
    </row>
    <row r="24">
      <c r="A24" s="3" t="s">
        <v>23</v>
      </c>
      <c r="B24" s="4">
        <v>0.451</v>
      </c>
      <c r="C24" s="5">
        <v>0.45</v>
      </c>
    </row>
    <row r="25">
      <c r="A25" s="3" t="s">
        <v>24</v>
      </c>
      <c r="B25" s="4">
        <v>0.827</v>
      </c>
      <c r="C25" s="5">
        <v>0.82</v>
      </c>
    </row>
    <row r="26">
      <c r="A26" s="3" t="s">
        <v>25</v>
      </c>
      <c r="B26" s="4">
        <v>0.833</v>
      </c>
      <c r="C26" s="5">
        <v>0.84</v>
      </c>
    </row>
    <row r="27">
      <c r="A27" s="1"/>
      <c r="B27" s="1"/>
      <c r="C27" s="1"/>
    </row>
    <row r="28">
      <c r="A28" s="3" t="s">
        <v>26</v>
      </c>
      <c r="B28" s="4">
        <v>0.39</v>
      </c>
      <c r="C28" s="5">
        <v>0.36</v>
      </c>
    </row>
    <row r="29">
      <c r="A29" s="3" t="s">
        <v>27</v>
      </c>
      <c r="B29" s="4">
        <v>0.557</v>
      </c>
      <c r="C29" s="5">
        <v>0.55</v>
      </c>
    </row>
    <row r="30">
      <c r="A30" s="3" t="s">
        <v>28</v>
      </c>
      <c r="B30" s="4">
        <v>0.48</v>
      </c>
      <c r="C30" s="5">
        <v>0.44</v>
      </c>
    </row>
    <row r="31">
      <c r="A31" s="3" t="s">
        <v>29</v>
      </c>
      <c r="B31" s="4">
        <v>0.451</v>
      </c>
      <c r="C31" s="5">
        <v>0.43</v>
      </c>
    </row>
    <row r="32">
      <c r="A32" s="3" t="s">
        <v>30</v>
      </c>
      <c r="B32" s="4">
        <v>0.39</v>
      </c>
      <c r="C32" s="5">
        <v>0.34</v>
      </c>
    </row>
    <row r="33">
      <c r="A33" s="3" t="s">
        <v>31</v>
      </c>
      <c r="B33" s="4">
        <v>0.757</v>
      </c>
      <c r="C33" s="5">
        <v>0.73</v>
      </c>
    </row>
    <row r="34">
      <c r="A34" s="3" t="s">
        <v>32</v>
      </c>
      <c r="B34" s="4">
        <v>0.817</v>
      </c>
      <c r="C34" s="5">
        <v>0.82</v>
      </c>
    </row>
    <row r="35">
      <c r="A35" s="3" t="s">
        <v>33</v>
      </c>
      <c r="B35" s="4">
        <v>0.762</v>
      </c>
      <c r="C35" s="5">
        <v>0.76</v>
      </c>
    </row>
  </sheetData>
  <drawing r:id="rId1"/>
</worksheet>
</file>